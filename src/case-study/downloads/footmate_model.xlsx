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8e1006319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운영보고" sheetId="1" r:id="Rf07461a9b3494f9d"/>
    <x:sheet xmlns:r="http://schemas.openxmlformats.org/officeDocument/2006/relationships" name="가정" sheetId="2" r:id="R6b0303fcc64e4d38"/>
    <x:sheet xmlns:r="http://schemas.openxmlformats.org/officeDocument/2006/relationships" name="월별손익" sheetId="3" r:id="R88048da9344a4644"/>
    <x:sheet xmlns:r="http://schemas.openxmlformats.org/officeDocument/2006/relationships" name="합성집계" sheetId="4" r:id="R56ef2c18b5f0459a"/>
    <x:sheet xmlns:r="http://schemas.openxmlformats.org/officeDocument/2006/relationships" name="검증" sheetId="5" r:id="Rde8325b1edc04e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#,##0;[Red](#,##0);–"/>
  </x:numFmts>
  <x:fonts count="5">
    <x:font>
      <x:sz val="11"/>
      <x:name val="Carlito"/>
    </x:font>
    <x:font>
      <x:sz val="11"/>
      <x:color rgb="FF173F33"/>
      <x:name val="Do Hyeon"/>
    </x:font>
    <x:font>
      <x:b/>
      <x:sz val="16"/>
      <x:color rgb="FF173F33"/>
      <x:name val="Do Hyeon"/>
    </x:font>
    <x:font>
      <x:b/>
      <x:sz val="11"/>
      <x:color rgb="FFFFFFFF"/>
      <x:name val="Do Hyeon"/>
    </x:font>
    <x:font>
      <x:sz val="11"/>
      <x:color rgb="FF2455B1"/>
      <x:name val="Do Hyeon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3"/>
      </x:patternFill>
    </x:fill>
    <x:fill>
      <x:patternFill patternType="solid">
        <x:fgColor rgb="FFFFF1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8c5f293b1489f" /><Relationship Type="http://schemas.openxmlformats.org/officeDocument/2006/relationships/theme" Target="/xl/theme/theme1.xml" Id="Rab4e62dcaa354ad6" /><Relationship Type="http://schemas.openxmlformats.org/officeDocument/2006/relationships/sharedStrings" Target="/xl/sharedStrings.xml" Id="Re57d435b57a14496" /><Relationship Type="http://schemas.openxmlformats.org/officeDocument/2006/relationships/worksheet" Target="/xl/worksheets/sheet1.xml" Id="Rf07461a9b3494f9d" /><Relationship Type="http://schemas.openxmlformats.org/officeDocument/2006/relationships/worksheet" Target="/xl/worksheets/sheet2.xml" Id="R6b0303fcc64e4d38" /><Relationship Type="http://schemas.openxmlformats.org/officeDocument/2006/relationships/worksheet" Target="/xl/worksheets/sheet3.xml" Id="R88048da9344a4644" /><Relationship Type="http://schemas.openxmlformats.org/officeDocument/2006/relationships/worksheet" Target="/xl/worksheets/sheet4.xml" Id="R56ef2c18b5f0459a" /><Relationship Type="http://schemas.openxmlformats.org/officeDocument/2006/relationships/worksheet" Target="/xl/worksheets/sheet5.xml" Id="Rde8325b1edc04e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1a1115c45e47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FootMate 수수료 매출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계획 매출</c:v>
          </c:tx>
          <c:marker>
            <c:symbol val="none"/>
          </c:marker>
          <c:cat>
            <c:strRef>
              <c:f>'운영보고'!$A$16:$A$27</c:f>
              <c:strCache>
                <c:ptCount val="0"/>
              </c:strCache>
            </c:strRef>
          </c:cat>
          <c:val>
            <c:numRef>
              <c:f>'운영보고'!$B$16:$B$27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수정 전망</c:v>
          </c:tx>
          <c:marker>
            <c:symbol val="none"/>
          </c:marker>
          <c:cat>
            <c:strRef>
              <c:f>'운영보고'!$A$16:$A$27</c:f>
              <c:strCache>
                <c:ptCount val="0"/>
              </c:strCache>
            </c:strRef>
          </c:cat>
          <c:val>
            <c:numRef>
              <c:f>'운영보고'!$C$16:$C$27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1a1115c45e47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3feb18209246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5" customHeight="1">
      <x:c r="A2" s="2" t="str">
        <x:v>FootMate 운영 손익과 성과관리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5" customHeight="1">
      <x:c r="A3" s="1" t="str">
        <x:v>포트폴리오용 합성 데이터·가정 / 2027년 모형 / 실제 실적 아님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25" customHeight="1">
      <x:c r="A5" s="1" t="str">
        <x:v>지표</x:v>
      </x:c>
      <x:c r="B5" s="1" t="str">
        <x:v>계획</x:v>
      </x:c>
      <x:c r="C5" s="1" t="str">
        <x:v>수정 전망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25" customHeight="1">
      <x:c r="A6" s="1" t="str">
        <x:v>연간 수수료 매출</x:v>
      </x:c>
      <x:c r="B6" s="10" t="n">
        <x:f>SUM('월별손익'!D6:D17)</x:f>
        <x:v>18232800</x:v>
      </x:c>
      <x:c r="C6" s="10" t="n">
        <x:f>SUM('월별손익'!N6:N17)</x:f>
        <x:v>17780600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25" customHeight="1">
      <x:c r="A7" s="1" t="str">
        <x:v>연간 운영손익</x:v>
      </x:c>
      <x:c r="B7" s="10" t="n">
        <x:f>SUM('월별손익'!F6:F17)</x:f>
        <x:v>-2034039.9999999988</x:v>
      </x:c>
      <x:c r="C7" s="10" t="n">
        <x:f>SUM('월별손익'!O6:O17)</x:f>
        <x:v>-3032580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25" customHeight="1">
      <x:c r="A8" s="1" t="str">
        <x:v>노동비용 포함</x:v>
      </x:c>
      <x:c r="B8" s="10" t="n">
        <x:f>B7-12*'가정'!B14</x:f>
        <x:v>-26034040</x:v>
      </x:c>
      <x:c r="C8" s="10" t="n">
        <x:f>C7-12*'가정'!B14</x:f>
        <x:v>-27032580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25" customHeight="1">
      <x:c r="A9" s="1" t="str">
        <x:v>초기 투자</x:v>
      </x:c>
      <x:c r="B9" s="10" t="n">
        <x:f>'가정'!B19</x:f>
        <x:v>3000000</x:v>
      </x:c>
      <x:c r="C9" s="10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25" customHeight="1">
      <x:c r="A10" s="1" t="str">
        <x:v>36개월 TCO(노동 포함)</x:v>
      </x:c>
      <x:c r="B10" s="10" t="n">
        <x:f>'가정'!B19+36*('가정'!B13+'가정'!B14)</x:f>
        <x:v>96600000</x:v>
      </x:c>
      <x:c r="C10" s="10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25" customHeight="1">
      <x:c r="A11" s="1" t="str">
        <x:v>월 손익 차이 설명</x:v>
      </x:c>
      <x:c r="B11" s="1" t="str">
        <x:v>물량·수수료 단가·순비용</x:v>
      </x:c>
      <x:c r="C11" s="1" t="str">
        <x:v>월별손익 탭 참조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25" customHeight="1">
      <x:c r="A12" s="1" t="str">
        <x:v>36개월 고정 현금비</x:v>
      </x:c>
      <x:c r="B12" s="11" t="n">
        <x:f>'가정'!B19+36*'가정'!B13</x:f>
        <x:v>24600000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25" customHeight="1">
      <x:c r="A15" s="1" t="str">
        <x:v>월</x:v>
      </x:c>
      <x:c r="B15" s="1" t="str">
        <x:v>계획 매출</x:v>
      </x:c>
      <x:c r="C15" s="1" t="str">
        <x:v>수정 전망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25" customHeight="1">
      <x:c r="A16" s="1" t="str">
        <x:f>'월별손익'!A6</x:f>
        <x:v>2027-01</x:v>
      </x:c>
      <x:c r="B16" s="1" t="n">
        <x:f>'월별손익'!D6</x:f>
        <x:v>751200</x:v>
      </x:c>
      <x:c r="C16" s="1" t="n">
        <x:f>'월별손익'!N6</x:f>
        <x:v>644300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25" customHeight="1">
      <x:c r="A17" s="1" t="str">
        <x:f>'월별손익'!A7</x:f>
        <x:v>2027-02</x:v>
      </x:c>
      <x:c r="B17" s="1" t="n">
        <x:f>'월별손익'!D7</x:f>
        <x:v>780000</x:v>
      </x:c>
      <x:c r="C17" s="1" t="n">
        <x:f>'월별손익'!N7</x:f>
        <x:v>685800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25" customHeight="1">
      <x:c r="A18" s="1" t="str">
        <x:f>'월별손익'!A8</x:f>
        <x:v>2027-03</x:v>
      </x:c>
      <x:c r="B18" s="1" t="n">
        <x:f>'월별손익'!D8</x:f>
        <x:v>810000</x:v>
      </x:c>
      <x:c r="C18" s="1" t="n">
        <x:f>'월별손익'!N8</x:f>
        <x:v>731300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5" customHeight="1">
      <x:c r="A19" s="1" t="str">
        <x:f>'월별손익'!A9</x:f>
        <x:v>2027-04</x:v>
      </x:c>
      <x:c r="B19" s="1" t="n">
        <x:f>'월별손익'!D9</x:f>
        <x:v>1176000</x:v>
      </x:c>
      <x:c r="C19" s="1" t="n">
        <x:f>'월별손익'!N9</x:f>
        <x:v>1088800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25" customHeight="1">
      <x:c r="A20" s="1" t="str">
        <x:f>'월별손익'!A10</x:f>
        <x:v>2027-05</x:v>
      </x:c>
      <x:c r="B20" s="1" t="n">
        <x:f>'월별손익'!D10</x:f>
        <x:v>1218000</x:v>
      </x:c>
      <x:c r="C20" s="1" t="n">
        <x:f>'월별손익'!N10</x:f>
        <x:v>1172000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25" customHeight="1">
      <x:c r="A21" s="1" t="str">
        <x:f>'월별손익'!A11</x:f>
        <x:v>2027-06</x:v>
      </x:c>
      <x:c r="B21" s="1" t="n">
        <x:f>'월별손익'!D11</x:f>
        <x:v>1262400</x:v>
      </x:c>
      <x:c r="C21" s="1" t="n">
        <x:f>'월별손익'!N11</x:f>
        <x:v>1223200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25" customHeight="1">
      <x:c r="A22" s="1" t="str">
        <x:f>'월별손익'!A12</x:f>
        <x:v>2027-07</x:v>
      </x:c>
      <x:c r="B22" s="1" t="n">
        <x:f>'월별손익'!D12</x:f>
        <x:v>1678800</x:v>
      </x:c>
      <x:c r="C22" s="1" t="n">
        <x:f>'월별손익'!N12</x:f>
        <x:v>1678800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25" customHeight="1">
      <x:c r="A23" s="1" t="str">
        <x:f>'월별손익'!A13</x:f>
        <x:v>2027-08</x:v>
      </x:c>
      <x:c r="B23" s="1" t="n">
        <x:f>'월별손익'!D13</x:f>
        <x:v>1737600</x:v>
      </x:c>
      <x:c r="C23" s="1" t="n">
        <x:f>'월별손익'!N13</x:f>
        <x:v>1737600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25" customHeight="1">
      <x:c r="A24" s="1" t="str">
        <x:f>'월별손익'!A14</x:f>
        <x:v>2027-09</x:v>
      </x:c>
      <x:c r="B24" s="1" t="n">
        <x:f>'월별손익'!D14</x:f>
        <x:v>1795200</x:v>
      </x:c>
      <x:c r="C24" s="1" t="n">
        <x:f>'월별손익'!N14</x:f>
        <x:v>1795200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25" customHeight="1">
      <x:c r="A25" s="1" t="str">
        <x:f>'월별손익'!A15</x:f>
        <x:v>2027-10</x:v>
      </x:c>
      <x:c r="B25" s="1" t="n">
        <x:f>'월별손익'!D15</x:f>
        <x:v>2266800</x:v>
      </x:c>
      <x:c r="C25" s="1" t="n">
        <x:f>'월별손익'!N15</x:f>
        <x:v>2266800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25" customHeight="1">
      <x:c r="A26" s="1" t="str">
        <x:f>'월별손익'!A16</x:f>
        <x:v>2027-11</x:v>
      </x:c>
      <x:c r="B26" s="1" t="n">
        <x:f>'월별손익'!D16</x:f>
        <x:v>2341200</x:v>
      </x:c>
      <x:c r="C26" s="1" t="n">
        <x:f>'월별손익'!N16</x:f>
        <x:v>2341200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25" customHeight="1">
      <x:c r="A27" s="1" t="str">
        <x:f>'월별손익'!A17</x:f>
        <x:v>2027-12</x:v>
      </x:c>
      <x:c r="B27" s="1" t="n">
        <x:f>'월별손익'!D17</x:f>
        <x:v>2415600</x:v>
      </x:c>
      <x:c r="C27" s="1" t="n">
        <x:f>'월별손익'!N17</x:f>
        <x:v>2415600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5" customHeight="1">
      <x:c r="A30" s="1" t="str">
        <x:v>완료건 기준 계획과 취소·노쇼 비용을 포함한 가상 원장을 비교합니다. 상반기 가상 실적 + 하반기 계획이 수정 전망입니다.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</x:sheetData>
  <x:pageMargins left="0.7" right="0.7" top="0.75" bottom="0.75" header="0.3" footer="0.3"/>
  <x:drawing xmlns:r="http://schemas.openxmlformats.org/officeDocument/2006/relationships" r:id="R8a3feb18209246c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5" customHeight="1">
      <x:c r="A2" s="2" t="str">
        <x:v>FootMate 사업 가정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5" customHeight="1">
      <x:c r="A3" s="1" t="str">
        <x:v>포트폴리오용 합성 데이터·가정 / 2027년 모형 / 실제 실적 아님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0" customHeight="1">
      <x:c r="A5" s="4" t="str">
        <x:v>항목</x:v>
      </x:c>
      <x:c r="B5" s="4" t="str">
        <x:v>입력값</x:v>
      </x:c>
      <x:c r="C5" s="4" t="str">
        <x:v>단위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25" customHeight="1">
      <x:c r="A6" s="1" t="str">
        <x:v>객단가</x:v>
      </x:c>
      <x:c r="B6" s="7" t="n">
        <x:v>12000</x:v>
      </x:c>
      <x:c r="C6" s="1" t="str">
        <x:v>원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25" customHeight="1">
      <x:c r="A7" s="1" t="str">
        <x:v>수수료율</x:v>
      </x:c>
      <x:c r="B7" s="8" t="n">
        <x:v>0.1</x:v>
      </x:c>
      <x:c r="C7" s="1" t="str">
        <x:v>비율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25" customHeight="1">
      <x:c r="A8" s="1" t="str">
        <x:v>결제비율</x:v>
      </x:c>
      <x:c r="B8" s="8" t="n">
        <x:v>0.03</x:v>
      </x:c>
      <x:c r="C8" s="1" t="str">
        <x:v>비율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25" customHeight="1">
      <x:c r="A9" s="1" t="str">
        <x:v>완료건 CS비</x:v>
      </x:c>
      <x:c r="B9" s="7" t="n">
        <x:v>150</x:v>
      </x:c>
      <x:c r="C9" s="1" t="str">
        <x:v>원/건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25" customHeight="1">
      <x:c r="A10" s="1" t="str">
        <x:v>IT비</x:v>
      </x:c>
      <x:c r="B10" s="7" t="n">
        <x:v>50</x:v>
      </x:c>
      <x:c r="C10" s="1" t="str">
        <x:v>원/건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25" customHeight="1">
      <x:c r="A11" s="1" t="str">
        <x:v>신규고객 비중</x:v>
      </x:c>
      <x:c r="B11" s="8" t="n">
        <x:v>0.5</x:v>
      </x:c>
      <x:c r="C11" s="1" t="str">
        <x:v>비율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25" customHeight="1">
      <x:c r="A12" s="1" t="str">
        <x:v>신규 CAC</x:v>
      </x:c>
      <x:c r="B12" s="7" t="n">
        <x:v>600</x:v>
      </x:c>
      <x:c r="C12" s="1" t="str">
        <x:v>원/신규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25" customHeight="1">
      <x:c r="A13" s="1" t="str">
        <x:v>월 고정비</x:v>
      </x:c>
      <x:c r="B13" s="7" t="n">
        <x:v>600000</x:v>
      </x:c>
      <x:c r="C13" s="1" t="str">
        <x:v>원/월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25" customHeight="1">
      <x:c r="A14" s="1" t="str">
        <x:v>노동 기회비용</x:v>
      </x:c>
      <x:c r="B14" s="7" t="n">
        <x:v>2000000</x:v>
      </x:c>
      <x:c r="C14" s="1" t="str">
        <x:v>원/월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25" customHeight="1">
      <x:c r="A15" s="1" t="str">
        <x:v>주간 서비스 슬롯</x:v>
      </x:c>
      <x:c r="B15" s="7" t="n">
        <x:v>4</x:v>
      </x:c>
      <x:c r="C15" s="1" t="str">
        <x:v>회/공급단위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25" customHeight="1">
      <x:c r="A16" s="1" t="str">
        <x:v>슬롯 정원</x:v>
      </x:c>
      <x:c r="B16" s="7" t="n">
        <x:v>18</x:v>
      </x:c>
      <x:c r="C16" s="1" t="str">
        <x:v>명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25" customHeight="1">
      <x:c r="A17" s="1" t="str">
        <x:v>취소율</x:v>
      </x:c>
      <x:c r="B17" s="8" t="n">
        <x:v>0.08</x:v>
      </x:c>
      <x:c r="C17" s="1" t="str">
        <x:v>비율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25" customHeight="1">
      <x:c r="A18" s="1" t="str">
        <x:v>완료율</x:v>
      </x:c>
      <x:c r="B18" s="8" t="n">
        <x:v>0.97</x:v>
      </x:c>
      <x:c r="C18" s="1" t="str">
        <x:v>비율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5" customHeight="1">
      <x:c r="A19" s="1" t="str">
        <x:v>초기 투자</x:v>
      </x:c>
      <x:c r="B19" s="7" t="n">
        <x:v>3000000</x:v>
      </x:c>
      <x:c r="C19" s="1" t="str">
        <x:v>원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25" customHeight="1">
      <x:c r="A20" s="1" t="str">
        <x:v>공급 단위 수</x:v>
      </x:c>
      <x:c r="B20" s="7" t="n">
        <x:v>5</x:v>
      </x:c>
      <x:c r="C20" s="1" t="str">
        <x:v>공급처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25" customHeight="1">
      <x:c r="A21" s="1" t="str">
        <x:v>가동·충원율</x:v>
      </x:c>
      <x:c r="B21" s="8" t="n">
        <x:v>0.75</x:v>
      </x:c>
      <x:c r="C21" s="1" t="str">
        <x:v>비율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25" customHeight="1">
      <x:c r="A22" s="1" t="str">
        <x:v>플랫폼 경유율</x:v>
      </x:c>
      <x:c r="B22" s="8" t="n">
        <x:v>0.6</x:v>
      </x:c>
      <x:c r="C22" s="1" t="str">
        <x:v>비율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5" customHeight="1">
      <x:c r="A2" s="2" t="str">
        <x:v>월별 계획·가상 실적·수정 전망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5" customHeight="1">
      <x:c r="A3" s="1" t="str">
        <x:v>포트폴리오용 합성 데이터·가정 / 2027년 모형 / 실제 실적 아님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0" customHeight="1">
      <x:c r="A5" s="4" t="str">
        <x:v>월</x:v>
      </x:c>
      <x:c r="B5" s="4" t="str">
        <x:v>공급정원</x:v>
      </x:c>
      <x:c r="C5" s="4" t="str">
        <x:v>완료계획</x:v>
      </x:c>
      <x:c r="D5" s="4" t="str">
        <x:v>수수료계획</x:v>
      </x:c>
      <x:c r="E5" s="4" t="str">
        <x:v>공헌이익/건</x:v>
      </x:c>
      <x:c r="F5" s="4" t="str">
        <x:v>계획손익</x:v>
      </x:c>
      <x:c r="G5" s="4" t="str">
        <x:v>가상완료</x:v>
      </x:c>
      <x:c r="H5" s="4" t="str">
        <x:v>가상수수료</x:v>
      </x:c>
      <x:c r="I5" s="4" t="str">
        <x:v>가상손익</x:v>
      </x:c>
      <x:c r="J5" s="4" t="str">
        <x:v>물량영향</x:v>
      </x:c>
      <x:c r="K5" s="4" t="str">
        <x:v>단가영향</x:v>
      </x:c>
      <x:c r="L5" s="4" t="str">
        <x:v>순비용영향</x:v>
      </x:c>
      <x:c r="M5" s="4" t="str">
        <x:v>손익차이</x:v>
      </x:c>
      <x:c r="N5" s="4" t="str">
        <x:v>수정매출</x:v>
      </x:c>
      <x:c r="O5" s="4" t="str">
        <x:v>수정손익</x:v>
      </x:c>
      <x:c r="P5" s="1"/>
      <x:c r="Q5" s="1"/>
      <x:c r="R5" s="1"/>
      <x:c r="S5" s="1"/>
      <x:c r="T5" s="1"/>
      <x:c r="U5" s="1"/>
    </x:row>
    <x:row r="6" ht="25" customHeight="1">
      <x:c r="A6" s="1" t="str">
        <x:f>'합성집계'!A6</x:f>
        <x:v>2027-01</x:v>
      </x:c>
      <x:c r="B6" s="10" t="n">
        <x:f>'합성집계'!H6*'가정'!$B$15*4.33*'가정'!$B$16</x:f>
        <x:v>1558.8</x:v>
      </x:c>
      <x:c r="C6" s="10" t="n">
        <x:f>ROUND(B6*'합성집계'!I6*'합성집계'!J6*(1-'가정'!$B$17)*'가정'!$B$18,0)</x:f>
        <x:v>626</x:v>
      </x:c>
      <x:c r="D6" s="10" t="n">
        <x:f>C6*'가정'!$B$6*'가정'!$B$7</x:f>
        <x:v>751200</x:v>
      </x:c>
      <x:c r="E6" s="10" t="n">
        <x:f>'가정'!$B$6*('가정'!$B$7-'가정'!$B$8)-'가정'!$B$9-'가정'!$B$10-'가정'!$B$11*'가정'!$B$12</x:f>
        <x:v>340.0000000000001</x:v>
      </x:c>
      <x:c r="F6" s="10" t="n">
        <x:f>C6*E6-'가정'!$B$13</x:f>
        <x:v>-387159.99999999994</x:v>
      </x:c>
      <x:c r="G6" s="10" t="n">
        <x:f>'합성집계'!B6</x:f>
        <x:v>537</x:v>
      </x:c>
      <x:c r="H6" s="10" t="n">
        <x:f>'합성집계'!C6</x:f>
        <x:v>644300</x:v>
      </x:c>
      <x:c r="I6" s="10" t="n">
        <x:f>H6-'합성집계'!D6-'합성집계'!E6-'합성집계'!F6-'합성집계'!G6-'가정'!$B$13</x:f>
        <x:v>-510490</x:v>
      </x:c>
      <x:c r="J6" s="10" t="n">
        <x:f>(G6-C6)*'가정'!$B$6*'가정'!$B$7</x:f>
        <x:v>-106800</x:v>
      </x:c>
      <x:c r="K6" s="10" t="n">
        <x:f>H6-G6*'가정'!$B$6*'가정'!$B$7</x:f>
        <x:v>-100</x:v>
      </x:c>
      <x:c r="L6" s="10" t="n">
        <x:f>(I6-F6)-J6-K6</x:f>
        <x:v>-16430.00000000006</x:v>
      </x:c>
      <x:c r="M6" s="10" t="n">
        <x:f>I6-F6</x:f>
        <x:v>-123330.00000000006</x:v>
      </x:c>
      <x:c r="N6" s="10" t="n">
        <x:f>H6</x:f>
        <x:v>644300</x:v>
      </x:c>
      <x:c r="O6" s="10" t="n">
        <x:f>I6</x:f>
        <x:v>-510490</x:v>
      </x:c>
      <x:c r="P6" s="1"/>
      <x:c r="Q6" s="1"/>
      <x:c r="R6" s="1"/>
      <x:c r="S6" s="1"/>
      <x:c r="T6" s="1"/>
      <x:c r="U6" s="1"/>
    </x:row>
    <x:row r="7" ht="25" customHeight="1">
      <x:c r="A7" s="1" t="str">
        <x:f>'합성집계'!A7</x:f>
        <x:v>2027-02</x:v>
      </x:c>
      <x:c r="B7" s="10" t="n">
        <x:f>'합성집계'!H7*'가정'!$B$15*4.33*'가정'!$B$16</x:f>
        <x:v>1558.8</x:v>
      </x:c>
      <x:c r="C7" s="10" t="n">
        <x:f>ROUND(B7*'합성집계'!I7*'합성집계'!J7*(1-'가정'!$B$17)*'가정'!$B$18,0)</x:f>
        <x:v>650</x:v>
      </x:c>
      <x:c r="D7" s="10" t="n">
        <x:f>C7*'가정'!$B$6*'가정'!$B$7</x:f>
        <x:v>780000</x:v>
      </x:c>
      <x:c r="E7" s="10" t="n">
        <x:f>'가정'!$B$6*('가정'!$B$7-'가정'!$B$8)-'가정'!$B$9-'가정'!$B$10-'가정'!$B$11*'가정'!$B$12</x:f>
        <x:v>340.0000000000001</x:v>
      </x:c>
      <x:c r="F7" s="10" t="n">
        <x:f>C7*E7-'가정'!$B$13</x:f>
        <x:v>-378999.9999999999</x:v>
      </x:c>
      <x:c r="G7" s="10" t="n">
        <x:f>'합성집계'!B7</x:f>
        <x:v>573</x:v>
      </x:c>
      <x:c r="H7" s="10" t="n">
        <x:f>'합성집계'!C7</x:f>
        <x:v>685800</x:v>
      </x:c>
      <x:c r="I7" s="10" t="n">
        <x:f>H7-'합성집계'!D7-'합성집계'!E7-'합성집계'!F7-'합성집계'!G7-'가정'!$B$13</x:f>
        <x:v>-505240</x:v>
      </x:c>
      <x:c r="J7" s="10" t="n">
        <x:f>(G7-C7)*'가정'!$B$6*'가정'!$B$7</x:f>
        <x:v>-92400</x:v>
      </x:c>
      <x:c r="K7" s="10" t="n">
        <x:f>H7-G7*'가정'!$B$6*'가정'!$B$7</x:f>
        <x:v>-1800</x:v>
      </x:c>
      <x:c r="L7" s="10" t="n">
        <x:f>(I7-F7)-J7-K7</x:f>
        <x:v>-32040.000000000116</x:v>
      </x:c>
      <x:c r="M7" s="10" t="n">
        <x:f>I7-F7</x:f>
        <x:v>-126240.00000000012</x:v>
      </x:c>
      <x:c r="N7" s="10" t="n">
        <x:f>H7</x:f>
        <x:v>685800</x:v>
      </x:c>
      <x:c r="O7" s="10" t="n">
        <x:f>I7</x:f>
        <x:v>-505240</x:v>
      </x:c>
      <x:c r="P7" s="1"/>
      <x:c r="Q7" s="1"/>
      <x:c r="R7" s="1"/>
      <x:c r="S7" s="1"/>
      <x:c r="T7" s="1"/>
      <x:c r="U7" s="1"/>
    </x:row>
    <x:row r="8" ht="25" customHeight="1">
      <x:c r="A8" s="1" t="str">
        <x:f>'합성집계'!A8</x:f>
        <x:v>2027-03</x:v>
      </x:c>
      <x:c r="B8" s="10" t="n">
        <x:f>'합성집계'!H8*'가정'!$B$15*4.33*'가정'!$B$16</x:f>
        <x:v>1558.8</x:v>
      </x:c>
      <x:c r="C8" s="10" t="n">
        <x:f>ROUND(B8*'합성집계'!I8*'합성집계'!J8*(1-'가정'!$B$17)*'가정'!$B$18,0)</x:f>
        <x:v>675</x:v>
      </x:c>
      <x:c r="D8" s="10" t="n">
        <x:f>C8*'가정'!$B$6*'가정'!$B$7</x:f>
        <x:v>810000</x:v>
      </x:c>
      <x:c r="E8" s="10" t="n">
        <x:f>'가정'!$B$6*('가정'!$B$7-'가정'!$B$8)-'가정'!$B$9-'가정'!$B$10-'가정'!$B$11*'가정'!$B$12</x:f>
        <x:v>340.0000000000001</x:v>
      </x:c>
      <x:c r="F8" s="10" t="n">
        <x:f>C8*E8-'가정'!$B$13</x:f>
        <x:v>-370499.9999999999</x:v>
      </x:c>
      <x:c r="G8" s="10" t="n">
        <x:f>'합성집계'!B8</x:f>
        <x:v>611</x:v>
      </x:c>
      <x:c r="H8" s="10" t="n">
        <x:f>'합성집계'!C8</x:f>
        <x:v>731300</x:v>
      </x:c>
      <x:c r="I8" s="10" t="n">
        <x:f>H8-'합성집계'!D8-'합성집계'!E8-'합성집계'!F8-'합성집계'!G8-'가정'!$B$13</x:f>
        <x:v>-503390</x:v>
      </x:c>
      <x:c r="J8" s="10" t="n">
        <x:f>(G8-C8)*'가정'!$B$6*'가정'!$B$7</x:f>
        <x:v>-76800</x:v>
      </x:c>
      <x:c r="K8" s="10" t="n">
        <x:f>H8-G8*'가정'!$B$6*'가정'!$B$7</x:f>
        <x:v>-1900</x:v>
      </x:c>
      <x:c r="L8" s="10" t="n">
        <x:f>(I8-F8)-J8-K8</x:f>
        <x:v>-54190.00000000012</x:v>
      </x:c>
      <x:c r="M8" s="10" t="n">
        <x:f>I8-F8</x:f>
        <x:v>-132890.00000000012</x:v>
      </x:c>
      <x:c r="N8" s="10" t="n">
        <x:f>H8</x:f>
        <x:v>731300</x:v>
      </x:c>
      <x:c r="O8" s="10" t="n">
        <x:f>I8</x:f>
        <x:v>-503390</x:v>
      </x:c>
      <x:c r="P8" s="1"/>
      <x:c r="Q8" s="1"/>
      <x:c r="R8" s="1"/>
      <x:c r="S8" s="1"/>
      <x:c r="T8" s="1"/>
      <x:c r="U8" s="1"/>
    </x:row>
    <x:row r="9" ht="25" customHeight="1">
      <x:c r="A9" s="1" t="str">
        <x:f>'합성집계'!A9</x:f>
        <x:v>2027-04</x:v>
      </x:c>
      <x:c r="B9" s="10" t="n">
        <x:f>'합성집계'!H9*'가정'!$B$15*4.33*'가정'!$B$16</x:f>
        <x:v>2182.32</x:v>
      </x:c>
      <x:c r="C9" s="10" t="n">
        <x:f>ROUND(B9*'합성집계'!I9*'합성집계'!J9*(1-'가정'!$B$17)*'가정'!$B$18,0)</x:f>
        <x:v>980</x:v>
      </x:c>
      <x:c r="D9" s="10" t="n">
        <x:f>C9*'가정'!$B$6*'가정'!$B$7</x:f>
        <x:v>1176000</x:v>
      </x:c>
      <x:c r="E9" s="10" t="n">
        <x:f>'가정'!$B$6*('가정'!$B$7-'가정'!$B$8)-'가정'!$B$9-'가정'!$B$10-'가정'!$B$11*'가정'!$B$12</x:f>
        <x:v>340.0000000000001</x:v>
      </x:c>
      <x:c r="F9" s="10" t="n">
        <x:f>C9*E9-'가정'!$B$13</x:f>
        <x:v>-266799.9999999999</x:v>
      </x:c>
      <x:c r="G9" s="10" t="n">
        <x:f>'합성집계'!B9</x:f>
        <x:v>904</x:v>
      </x:c>
      <x:c r="H9" s="10" t="n">
        <x:f>'합성집계'!C9</x:f>
        <x:v>1088800</x:v>
      </x:c>
      <x:c r="I9" s="10" t="n">
        <x:f>H9-'합성집계'!D9-'합성집계'!E9-'합성집계'!F9-'합성집계'!G9-'가정'!$B$13</x:f>
        <x:v>-459140</x:v>
      </x:c>
      <x:c r="J9" s="10" t="n">
        <x:f>(G9-C9)*'가정'!$B$6*'가정'!$B$7</x:f>
        <x:v>-91200</x:v>
      </x:c>
      <x:c r="K9" s="10" t="n">
        <x:f>H9-G9*'가정'!$B$6*'가정'!$B$7</x:f>
        <x:v>4000</x:v>
      </x:c>
      <x:c r="L9" s="10" t="n">
        <x:f>(I9-F9)-J9-K9</x:f>
        <x:v>-105140.00000000012</x:v>
      </x:c>
      <x:c r="M9" s="10" t="n">
        <x:f>I9-F9</x:f>
        <x:v>-192340.00000000012</x:v>
      </x:c>
      <x:c r="N9" s="10" t="n">
        <x:f>H9</x:f>
        <x:v>1088800</x:v>
      </x:c>
      <x:c r="O9" s="10" t="n">
        <x:f>I9</x:f>
        <x:v>-459140</x:v>
      </x:c>
      <x:c r="P9" s="1"/>
      <x:c r="Q9" s="1"/>
      <x:c r="R9" s="1"/>
      <x:c r="S9" s="1"/>
      <x:c r="T9" s="1"/>
      <x:c r="U9" s="1"/>
    </x:row>
    <x:row r="10" ht="25" customHeight="1">
      <x:c r="A10" s="1" t="str">
        <x:f>'합성집계'!A10</x:f>
        <x:v>2027-05</x:v>
      </x:c>
      <x:c r="B10" s="10" t="n">
        <x:f>'합성집계'!H10*'가정'!$B$15*4.33*'가정'!$B$16</x:f>
        <x:v>2182.32</x:v>
      </x:c>
      <x:c r="C10" s="10" t="n">
        <x:f>ROUND(B10*'합성집계'!I10*'합성집계'!J10*(1-'가정'!$B$17)*'가정'!$B$18,0)</x:f>
        <x:v>1015</x:v>
      </x:c>
      <x:c r="D10" s="10" t="n">
        <x:f>C10*'가정'!$B$6*'가정'!$B$7</x:f>
        <x:v>1218000</x:v>
      </x:c>
      <x:c r="E10" s="10" t="n">
        <x:f>'가정'!$B$6*('가정'!$B$7-'가정'!$B$8)-'가정'!$B$9-'가정'!$B$10-'가정'!$B$11*'가정'!$B$12</x:f>
        <x:v>340.0000000000001</x:v>
      </x:c>
      <x:c r="F10" s="10" t="n">
        <x:f>C10*E10-'가정'!$B$13</x:f>
        <x:v>-254899.99999999988</x:v>
      </x:c>
      <x:c r="G10" s="10" t="n">
        <x:f>'합성집계'!B10</x:f>
        <x:v>976</x:v>
      </x:c>
      <x:c r="H10" s="10" t="n">
        <x:f>'합성집계'!C10</x:f>
        <x:v>1172000</x:v>
      </x:c>
      <x:c r="I10" s="10" t="n">
        <x:f>H10-'합성집계'!D10-'합성집계'!E10-'합성집계'!F10-'합성집계'!G10-'가정'!$B$13</x:f>
        <x:v>-461600</x:v>
      </x:c>
      <x:c r="J10" s="10" t="n">
        <x:f>(G10-C10)*'가정'!$B$6*'가정'!$B$7</x:f>
        <x:v>-46800</x:v>
      </x:c>
      <x:c r="K10" s="10" t="n">
        <x:f>H10-G10*'가정'!$B$6*'가정'!$B$7</x:f>
        <x:v>800</x:v>
      </x:c>
      <x:c r="L10" s="10" t="n">
        <x:f>(I10-F10)-J10-K10</x:f>
        <x:v>-160700.00000000012</x:v>
      </x:c>
      <x:c r="M10" s="10" t="n">
        <x:f>I10-F10</x:f>
        <x:v>-206700.00000000012</x:v>
      </x:c>
      <x:c r="N10" s="10" t="n">
        <x:f>H10</x:f>
        <x:v>1172000</x:v>
      </x:c>
      <x:c r="O10" s="10" t="n">
        <x:f>I10</x:f>
        <x:v>-461600</x:v>
      </x:c>
      <x:c r="P10" s="1"/>
      <x:c r="Q10" s="1"/>
      <x:c r="R10" s="1"/>
      <x:c r="S10" s="1"/>
      <x:c r="T10" s="1"/>
      <x:c r="U10" s="1"/>
    </x:row>
    <x:row r="11" ht="25" customHeight="1">
      <x:c r="A11" s="1" t="str">
        <x:f>'합성집계'!A11</x:f>
        <x:v>2027-06</x:v>
      </x:c>
      <x:c r="B11" s="10" t="n">
        <x:f>'합성집계'!H11*'가정'!$B$15*4.33*'가정'!$B$16</x:f>
        <x:v>2182.32</x:v>
      </x:c>
      <x:c r="C11" s="10" t="n">
        <x:f>ROUND(B11*'합성집계'!I11*'합성집계'!J11*(1-'가정'!$B$17)*'가정'!$B$18,0)</x:f>
        <x:v>1052</x:v>
      </x:c>
      <x:c r="D11" s="10" t="n">
        <x:f>C11*'가정'!$B$6*'가정'!$B$7</x:f>
        <x:v>1262400</x:v>
      </x:c>
      <x:c r="E11" s="10" t="n">
        <x:f>'가정'!$B$6*('가정'!$B$7-'가정'!$B$8)-'가정'!$B$9-'가정'!$B$10-'가정'!$B$11*'가정'!$B$12</x:f>
        <x:v>340.0000000000001</x:v>
      </x:c>
      <x:c r="F11" s="10" t="n">
        <x:f>C11*E11-'가정'!$B$13</x:f>
        <x:v>-242319.99999999988</x:v>
      </x:c>
      <x:c r="G11" s="10" t="n">
        <x:f>'합성집계'!B11</x:f>
        <x:v>1019</x:v>
      </x:c>
      <x:c r="H11" s="10" t="n">
        <x:f>'합성집계'!C11</x:f>
        <x:v>1223200</x:v>
      </x:c>
      <x:c r="I11" s="10" t="n">
        <x:f>H11-'합성집계'!D11-'합성집계'!E11-'합성집계'!F11-'합성집계'!G11-'가정'!$B$13</x:f>
        <x:v>-459360</x:v>
      </x:c>
      <x:c r="J11" s="10" t="n">
        <x:f>(G11-C11)*'가정'!$B$6*'가정'!$B$7</x:f>
        <x:v>-39600</x:v>
      </x:c>
      <x:c r="K11" s="10" t="n">
        <x:f>H11-G11*'가정'!$B$6*'가정'!$B$7</x:f>
        <x:v>400</x:v>
      </x:c>
      <x:c r="L11" s="10" t="n">
        <x:f>(I11-F11)-J11-K11</x:f>
        <x:v>-177840.00000000012</x:v>
      </x:c>
      <x:c r="M11" s="10" t="n">
        <x:f>I11-F11</x:f>
        <x:v>-217040.00000000012</x:v>
      </x:c>
      <x:c r="N11" s="10" t="n">
        <x:f>H11</x:f>
        <x:v>1223200</x:v>
      </x:c>
      <x:c r="O11" s="10" t="n">
        <x:f>I11</x:f>
        <x:v>-459360</x:v>
      </x:c>
      <x:c r="P11" s="1"/>
      <x:c r="Q11" s="1"/>
      <x:c r="R11" s="1"/>
      <x:c r="S11" s="1"/>
      <x:c r="T11" s="1"/>
      <x:c r="U11" s="1"/>
    </x:row>
    <x:row r="12" ht="25" customHeight="1">
      <x:c r="A12" s="1" t="str">
        <x:f>'합성집계'!A12</x:f>
        <x:v>2027-07</x:v>
      </x:c>
      <x:c r="B12" s="10" t="n">
        <x:f>'합성집계'!H12*'가정'!$B$15*4.33*'가정'!$B$16</x:f>
        <x:v>2805.84</x:v>
      </x:c>
      <x:c r="C12" s="10" t="n">
        <x:f>ROUND(B12*'합성집계'!I12*'합성집계'!J12*(1-'가정'!$B$17)*'가정'!$B$18,0)</x:f>
        <x:v>1399</x:v>
      </x:c>
      <x:c r="D12" s="10" t="n">
        <x:f>C12*'가정'!$B$6*'가정'!$B$7</x:f>
        <x:v>1678800</x:v>
      </x:c>
      <x:c r="E12" s="10" t="n">
        <x:f>'가정'!$B$6*('가정'!$B$7-'가정'!$B$8)-'가정'!$B$9-'가정'!$B$10-'가정'!$B$11*'가정'!$B$12</x:f>
        <x:v>340.0000000000001</x:v>
      </x:c>
      <x:c r="F12" s="10" t="n">
        <x:f>C12*E12-'가정'!$B$13</x:f>
        <x:v>-124339.99999999983</x:v>
      </x:c>
      <x:c r="G12" s="10" t="n">
        <x:f>'합성집계'!B12</x:f>
        <x:v>1424</x:v>
      </x:c>
      <x:c r="H12" s="10" t="n">
        <x:f>'합성집계'!C12</x:f>
        <x:v>1712100</x:v>
      </x:c>
      <x:c r="I12" s="10" t="n">
        <x:f>H12-'합성집계'!D12-'합성집계'!E12-'합성집계'!F12-'합성집계'!G12-'가정'!$B$13</x:f>
        <x:v>-355330</x:v>
      </x:c>
      <x:c r="J12" s="10" t="n">
        <x:f>(G12-C12)*'가정'!$B$6*'가정'!$B$7</x:f>
        <x:v>30000</x:v>
      </x:c>
      <x:c r="K12" s="10" t="n">
        <x:f>H12-G12*'가정'!$B$6*'가정'!$B$7</x:f>
        <x:v>3300</x:v>
      </x:c>
      <x:c r="L12" s="10" t="n">
        <x:f>(I12-F12)-J12-K12</x:f>
        <x:v>-264290.0000000002</x:v>
      </x:c>
      <x:c r="M12" s="10" t="n">
        <x:f>I12-F12</x:f>
        <x:v>-230990.00000000017</x:v>
      </x:c>
      <x:c r="N12" s="10" t="n">
        <x:f>D12</x:f>
        <x:v>1678800</x:v>
      </x:c>
      <x:c r="O12" s="10" t="n">
        <x:f>F12</x:f>
        <x:v>-124339.99999999983</x:v>
      </x:c>
      <x:c r="P12" s="1"/>
      <x:c r="Q12" s="1"/>
      <x:c r="R12" s="1"/>
      <x:c r="S12" s="1"/>
      <x:c r="T12" s="1"/>
      <x:c r="U12" s="1"/>
    </x:row>
    <x:row r="13" ht="25" customHeight="1">
      <x:c r="A13" s="1" t="str">
        <x:f>'합성집계'!A13</x:f>
        <x:v>2027-08</x:v>
      </x:c>
      <x:c r="B13" s="10" t="n">
        <x:f>'합성집계'!H13*'가정'!$B$15*4.33*'가정'!$B$16</x:f>
        <x:v>2805.84</x:v>
      </x:c>
      <x:c r="C13" s="10" t="n">
        <x:f>ROUND(B13*'합성집계'!I13*'합성집계'!J13*(1-'가정'!$B$17)*'가정'!$B$18,0)</x:f>
        <x:v>1448</x:v>
      </x:c>
      <x:c r="D13" s="10" t="n">
        <x:f>C13*'가정'!$B$6*'가정'!$B$7</x:f>
        <x:v>1737600</x:v>
      </x:c>
      <x:c r="E13" s="10" t="n">
        <x:f>'가정'!$B$6*('가정'!$B$7-'가정'!$B$8)-'가정'!$B$9-'가정'!$B$10-'가정'!$B$11*'가정'!$B$12</x:f>
        <x:v>340.0000000000001</x:v>
      </x:c>
      <x:c r="F13" s="10" t="n">
        <x:f>C13*E13-'가정'!$B$13</x:f>
        <x:v>-107679.99999999983</x:v>
      </x:c>
      <x:c r="G13" s="10" t="n">
        <x:f>'합성집계'!B13</x:f>
        <x:v>1498</x:v>
      </x:c>
      <x:c r="H13" s="10" t="n">
        <x:f>'합성집계'!C13</x:f>
        <x:v>1797700</x:v>
      </x:c>
      <x:c r="I13" s="10" t="n">
        <x:f>H13-'합성집계'!D13-'합성집계'!E13-'합성집계'!F13-'합성집계'!G13-'가정'!$B$13</x:f>
        <x:v>-359110</x:v>
      </x:c>
      <x:c r="J13" s="10" t="n">
        <x:f>(G13-C13)*'가정'!$B$6*'가정'!$B$7</x:f>
        <x:v>60000</x:v>
      </x:c>
      <x:c r="K13" s="10" t="n">
        <x:f>H13-G13*'가정'!$B$6*'가정'!$B$7</x:f>
        <x:v>100</x:v>
      </x:c>
      <x:c r="L13" s="10" t="n">
        <x:f>(I13-F13)-J13-K13</x:f>
        <x:v>-311530.0000000002</x:v>
      </x:c>
      <x:c r="M13" s="10" t="n">
        <x:f>I13-F13</x:f>
        <x:v>-251430.00000000017</x:v>
      </x:c>
      <x:c r="N13" s="10" t="n">
        <x:f>D13</x:f>
        <x:v>1737600</x:v>
      </x:c>
      <x:c r="O13" s="10" t="n">
        <x:f>F13</x:f>
        <x:v>-107679.99999999983</x:v>
      </x:c>
      <x:c r="P13" s="1"/>
      <x:c r="Q13" s="1"/>
      <x:c r="R13" s="1"/>
      <x:c r="S13" s="1"/>
      <x:c r="T13" s="1"/>
      <x:c r="U13" s="1"/>
    </x:row>
    <x:row r="14" ht="25" customHeight="1">
      <x:c r="A14" s="1" t="str">
        <x:f>'합성집계'!A14</x:f>
        <x:v>2027-09</x:v>
      </x:c>
      <x:c r="B14" s="10" t="n">
        <x:f>'합성집계'!H14*'가정'!$B$15*4.33*'가정'!$B$16</x:f>
        <x:v>2805.84</x:v>
      </x:c>
      <x:c r="C14" s="10" t="n">
        <x:f>ROUND(B14*'합성집계'!I14*'합성집계'!J14*(1-'가정'!$B$17)*'가정'!$B$18,0)</x:f>
        <x:v>1496</x:v>
      </x:c>
      <x:c r="D14" s="10" t="n">
        <x:f>C14*'가정'!$B$6*'가정'!$B$7</x:f>
        <x:v>1795200</x:v>
      </x:c>
      <x:c r="E14" s="10" t="n">
        <x:f>'가정'!$B$6*('가정'!$B$7-'가정'!$B$8)-'가정'!$B$9-'가정'!$B$10-'가정'!$B$11*'가정'!$B$12</x:f>
        <x:v>340.0000000000001</x:v>
      </x:c>
      <x:c r="F14" s="10" t="n">
        <x:f>C14*E14-'가정'!$B$13</x:f>
        <x:v>-91359.99999999983</x:v>
      </x:c>
      <x:c r="G14" s="10" t="n">
        <x:f>'합성집계'!B14</x:f>
        <x:v>1564</x:v>
      </x:c>
      <x:c r="H14" s="10" t="n">
        <x:f>'합성집계'!C14</x:f>
        <x:v>1877900</x:v>
      </x:c>
      <x:c r="I14" s="10" t="n">
        <x:f>H14-'합성집계'!D14-'합성집계'!E14-'합성집계'!F14-'합성집계'!G14-'가정'!$B$13</x:f>
        <x:v>-367870</x:v>
      </x:c>
      <x:c r="J14" s="10" t="n">
        <x:f>(G14-C14)*'가정'!$B$6*'가정'!$B$7</x:f>
        <x:v>81600</x:v>
      </x:c>
      <x:c r="K14" s="10" t="n">
        <x:f>H14-G14*'가정'!$B$6*'가정'!$B$7</x:f>
        <x:v>1100</x:v>
      </x:c>
      <x:c r="L14" s="10" t="n">
        <x:f>(I14-F14)-J14-K14</x:f>
        <x:v>-359210.0000000002</x:v>
      </x:c>
      <x:c r="M14" s="10" t="n">
        <x:f>I14-F14</x:f>
        <x:v>-276510.0000000002</x:v>
      </x:c>
      <x:c r="N14" s="10" t="n">
        <x:f>D14</x:f>
        <x:v>1795200</x:v>
      </x:c>
      <x:c r="O14" s="10" t="n">
        <x:f>F14</x:f>
        <x:v>-91359.99999999983</x:v>
      </x:c>
      <x:c r="P14" s="1"/>
      <x:c r="Q14" s="1"/>
      <x:c r="R14" s="1"/>
      <x:c r="S14" s="1"/>
      <x:c r="T14" s="1"/>
      <x:c r="U14" s="1"/>
    </x:row>
    <x:row r="15" ht="25" customHeight="1">
      <x:c r="A15" s="1" t="str">
        <x:f>'합성집계'!A15</x:f>
        <x:v>2027-10</x:v>
      </x:c>
      <x:c r="B15" s="10" t="n">
        <x:f>'합성집계'!H15*'가정'!$B$15*4.33*'가정'!$B$16</x:f>
        <x:v>3429.36</x:v>
      </x:c>
      <x:c r="C15" s="10" t="n">
        <x:f>ROUND(B15*'합성집계'!I15*'합성집계'!J15*(1-'가정'!$B$17)*'가정'!$B$18,0)</x:f>
        <x:v>1889</x:v>
      </x:c>
      <x:c r="D15" s="10" t="n">
        <x:f>C15*'가정'!$B$6*'가정'!$B$7</x:f>
        <x:v>2266800</x:v>
      </x:c>
      <x:c r="E15" s="10" t="n">
        <x:f>'가정'!$B$6*('가정'!$B$7-'가정'!$B$8)-'가정'!$B$9-'가정'!$B$10-'가정'!$B$11*'가정'!$B$12</x:f>
        <x:v>340.0000000000001</x:v>
      </x:c>
      <x:c r="F15" s="10" t="n">
        <x:f>C15*E15-'가정'!$B$13</x:f>
        <x:v>42260.00000000023</x:v>
      </x:c>
      <x:c r="G15" s="10" t="n">
        <x:f>'합성집계'!B15</x:f>
        <x:v>2056</x:v>
      </x:c>
      <x:c r="H15" s="10" t="n">
        <x:f>'합성집계'!C15</x:f>
        <x:v>2466000</x:v>
      </x:c>
      <x:c r="I15" s="10" t="n">
        <x:f>H15-'합성집계'!D15-'합성집계'!E15-'합성집계'!F15-'합성집계'!G15-'가정'!$B$13</x:f>
        <x:v>-274700</x:v>
      </x:c>
      <x:c r="J15" s="10" t="n">
        <x:f>(G15-C15)*'가정'!$B$6*'가정'!$B$7</x:f>
        <x:v>200400</x:v>
      </x:c>
      <x:c r="K15" s="10" t="n">
        <x:f>H15-G15*'가정'!$B$6*'가정'!$B$7</x:f>
        <x:v>-1200</x:v>
      </x:c>
      <x:c r="L15" s="10" t="n">
        <x:f>(I15-F15)-J15-K15</x:f>
        <x:v>-516160.00000000023</x:v>
      </x:c>
      <x:c r="M15" s="10" t="n">
        <x:f>I15-F15</x:f>
        <x:v>-316960.00000000023</x:v>
      </x:c>
      <x:c r="N15" s="10" t="n">
        <x:f>D15</x:f>
        <x:v>2266800</x:v>
      </x:c>
      <x:c r="O15" s="10" t="n">
        <x:f>F15</x:f>
        <x:v>42260.00000000023</x:v>
      </x:c>
      <x:c r="P15" s="1"/>
      <x:c r="Q15" s="1"/>
      <x:c r="R15" s="1"/>
      <x:c r="S15" s="1"/>
      <x:c r="T15" s="1"/>
      <x:c r="U15" s="1"/>
    </x:row>
    <x:row r="16" ht="25" customHeight="1">
      <x:c r="A16" s="1" t="str">
        <x:f>'합성집계'!A16</x:f>
        <x:v>2027-11</x:v>
      </x:c>
      <x:c r="B16" s="10" t="n">
        <x:f>'합성집계'!H16*'가정'!$B$15*4.33*'가정'!$B$16</x:f>
        <x:v>3429.36</x:v>
      </x:c>
      <x:c r="C16" s="10" t="n">
        <x:f>ROUND(B16*'합성집계'!I16*'합성집계'!J16*(1-'가정'!$B$17)*'가정'!$B$18,0)</x:f>
        <x:v>1951</x:v>
      </x:c>
      <x:c r="D16" s="10" t="n">
        <x:f>C16*'가정'!$B$6*'가정'!$B$7</x:f>
        <x:v>2341200</x:v>
      </x:c>
      <x:c r="E16" s="10" t="n">
        <x:f>'가정'!$B$6*('가정'!$B$7-'가정'!$B$8)-'가정'!$B$9-'가정'!$B$10-'가정'!$B$11*'가정'!$B$12</x:f>
        <x:v>340.0000000000001</x:v>
      </x:c>
      <x:c r="F16" s="10" t="n">
        <x:f>C16*E16-'가정'!$B$13</x:f>
        <x:v>63340.00000000023</x:v>
      </x:c>
      <x:c r="G16" s="10" t="n">
        <x:f>'합성집계'!B16</x:f>
        <x:v>2143</x:v>
      </x:c>
      <x:c r="H16" s="10" t="n">
        <x:f>'합성집계'!C16</x:f>
        <x:v>2568200</x:v>
      </x:c>
      <x:c r="I16" s="10" t="n">
        <x:f>H16-'합성집계'!D16-'합성집계'!E16-'합성집계'!F16-'합성집계'!G16-'가정'!$B$13</x:f>
        <x:v>-306460</x:v>
      </x:c>
      <x:c r="J16" s="10" t="n">
        <x:f>(G16-C16)*'가정'!$B$6*'가정'!$B$7</x:f>
        <x:v>230400</x:v>
      </x:c>
      <x:c r="K16" s="10" t="n">
        <x:f>H16-G16*'가정'!$B$6*'가정'!$B$7</x:f>
        <x:v>-3400</x:v>
      </x:c>
      <x:c r="L16" s="10" t="n">
        <x:f>(I16-F16)-J16-K16</x:f>
        <x:v>-596800.0000000002</x:v>
      </x:c>
      <x:c r="M16" s="10" t="n">
        <x:f>I16-F16</x:f>
        <x:v>-369800.00000000023</x:v>
      </x:c>
      <x:c r="N16" s="10" t="n">
        <x:f>D16</x:f>
        <x:v>2341200</x:v>
      </x:c>
      <x:c r="O16" s="10" t="n">
        <x:f>F16</x:f>
        <x:v>63340.00000000023</x:v>
      </x:c>
      <x:c r="P16" s="1"/>
      <x:c r="Q16" s="1"/>
      <x:c r="R16" s="1"/>
      <x:c r="S16" s="1"/>
      <x:c r="T16" s="1"/>
      <x:c r="U16" s="1"/>
    </x:row>
    <x:row r="17" ht="25" customHeight="1">
      <x:c r="A17" s="1" t="str">
        <x:f>'합성집계'!A17</x:f>
        <x:v>2027-12</x:v>
      </x:c>
      <x:c r="B17" s="10" t="n">
        <x:f>'합성집계'!H17*'가정'!$B$15*4.33*'가정'!$B$16</x:f>
        <x:v>3429.36</x:v>
      </x:c>
      <x:c r="C17" s="10" t="n">
        <x:f>ROUND(B17*'합성집계'!I17*'합성집계'!J17*(1-'가정'!$B$17)*'가정'!$B$18,0)</x:f>
        <x:v>2013</x:v>
      </x:c>
      <x:c r="D17" s="10" t="n">
        <x:f>C17*'가정'!$B$6*'가정'!$B$7</x:f>
        <x:v>2415600</x:v>
      </x:c>
      <x:c r="E17" s="10" t="n">
        <x:f>'가정'!$B$6*('가정'!$B$7-'가정'!$B$8)-'가정'!$B$9-'가정'!$B$10-'가정'!$B$11*'가정'!$B$12</x:f>
        <x:v>340.0000000000001</x:v>
      </x:c>
      <x:c r="F17" s="10" t="n">
        <x:f>C17*E17-'가정'!$B$13</x:f>
        <x:v>84420.00000000023</x:v>
      </x:c>
      <x:c r="G17" s="10" t="n">
        <x:f>'합성집계'!B17</x:f>
        <x:v>2261</x:v>
      </x:c>
      <x:c r="H17" s="10" t="n">
        <x:f>'합성집계'!C17</x:f>
        <x:v>2713800</x:v>
      </x:c>
      <x:c r="I17" s="10" t="n">
        <x:f>H17-'합성집계'!D17-'합성집계'!E17-'합성집계'!F17-'합성집계'!G17-'가정'!$B$13</x:f>
        <x:v>-278040</x:v>
      </x:c>
      <x:c r="J17" s="10" t="n">
        <x:f>(G17-C17)*'가정'!$B$6*'가정'!$B$7</x:f>
        <x:v>297600</x:v>
      </x:c>
      <x:c r="K17" s="10" t="n">
        <x:f>H17-G17*'가정'!$B$6*'가정'!$B$7</x:f>
        <x:v>600</x:v>
      </x:c>
      <x:c r="L17" s="10" t="n">
        <x:f>(I17-F17)-J17-K17</x:f>
        <x:v>-660660.0000000002</x:v>
      </x:c>
      <x:c r="M17" s="10" t="n">
        <x:f>I17-F17</x:f>
        <x:v>-362460.00000000023</x:v>
      </x:c>
      <x:c r="N17" s="10" t="n">
        <x:f>D17</x:f>
        <x:v>2415600</x:v>
      </x:c>
      <x:c r="O17" s="10" t="n">
        <x:f>F17</x:f>
        <x:v>84420.00000000023</x:v>
      </x:c>
      <x:c r="P17" s="1"/>
      <x:c r="Q17" s="1"/>
      <x:c r="R17" s="1"/>
      <x:c r="S17" s="1"/>
      <x:c r="T17" s="1"/>
      <x:c r="U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5" customHeight="1">
      <x:c r="A2" s="2" t="str">
        <x:v>FootMate 원장 집계와 계획 입력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5" customHeight="1">
      <x:c r="A3" s="1" t="str">
        <x:v>포트폴리오용 합성 데이터·가정 / 2027년 모형 / 실제 실적 아님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0" customHeight="1">
      <x:c r="A5" s="4" t="str">
        <x:v>월</x:v>
      </x:c>
      <x:c r="B5" s="4" t="str">
        <x:v>가상완료</x:v>
      </x:c>
      <x:c r="C5" s="4" t="str">
        <x:v>수수료</x:v>
      </x:c>
      <x:c r="D5" s="4" t="str">
        <x:v>결제비</x:v>
      </x:c>
      <x:c r="E5" s="4" t="str">
        <x:v>CS비</x:v>
      </x:c>
      <x:c r="F5" s="4" t="str">
        <x:v>IT비</x:v>
      </x:c>
      <x:c r="G5" s="4" t="str">
        <x:v>획득비</x:v>
      </x:c>
      <x:c r="H5" s="4" t="str">
        <x:v>계획공급</x:v>
      </x:c>
      <x:c r="I5" s="4" t="str">
        <x:v>계획충원율</x:v>
      </x:c>
      <x:c r="J5" s="4" t="str">
        <x:v>계획경유율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25" customHeight="1">
      <x:c r="A6" s="1" t="str">
        <x:v>2027-01</x:v>
      </x:c>
      <x:c r="B6" s="11" t="n">
        <x:v>537</x:v>
      </x:c>
      <x:c r="C6" s="11" t="n">
        <x:v>644300</x:v>
      </x:c>
      <x:c r="D6" s="11" t="n">
        <x:v>193290</x:v>
      </x:c>
      <x:c r="E6" s="11" t="n">
        <x:v>156650</x:v>
      </x:c>
      <x:c r="F6" s="11" t="n">
        <x:v>29650</x:v>
      </x:c>
      <x:c r="G6" s="11" t="n">
        <x:v>175200</x:v>
      </x:c>
      <x:c r="H6" s="12" t="n">
        <x:f>'가정'!$B$20+0</x:f>
        <x:v>5</x:v>
      </x:c>
      <x:c r="I6" s="9" t="n">
        <x:f>MIN(0.9,'가정'!$B$21+0)</x:f>
        <x:v>0.75</x:v>
      </x:c>
      <x:c r="J6" s="9" t="n">
        <x:f>MIN(0.9,'가정'!$B$22+0)</x:f>
        <x:v>0.6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25" customHeight="1">
      <x:c r="A7" s="1" t="str">
        <x:v>2027-02</x:v>
      </x:c>
      <x:c r="B7" s="11" t="n">
        <x:v>573</x:v>
      </x:c>
      <x:c r="C7" s="11" t="n">
        <x:v>685800</x:v>
      </x:c>
      <x:c r="D7" s="11" t="n">
        <x:v>205740</x:v>
      </x:c>
      <x:c r="E7" s="11" t="n">
        <x:v>172400</x:v>
      </x:c>
      <x:c r="F7" s="11" t="n">
        <x:v>31700</x:v>
      </x:c>
      <x:c r="G7" s="11" t="n">
        <x:v>181200</x:v>
      </x:c>
      <x:c r="H7" s="12" t="n">
        <x:f>'가정'!$B$20+0</x:f>
        <x:v>5</x:v>
      </x:c>
      <x:c r="I7" s="9" t="n">
        <x:f>MIN(0.9,'가정'!$B$21+0.01)</x:f>
        <x:v>0.76</x:v>
      </x:c>
      <x:c r="J7" s="9" t="n">
        <x:f>MIN(0.9,'가정'!$B$22+0.015)</x:f>
        <x:v>0.615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25" customHeight="1">
      <x:c r="A8" s="1" t="str">
        <x:v>2027-03</x:v>
      </x:c>
      <x:c r="B8" s="11" t="n">
        <x:v>611</x:v>
      </x:c>
      <x:c r="C8" s="11" t="n">
        <x:v>731300</x:v>
      </x:c>
      <x:c r="D8" s="11" t="n">
        <x:v>219390</x:v>
      </x:c>
      <x:c r="E8" s="11" t="n">
        <x:v>182250</x:v>
      </x:c>
      <x:c r="F8" s="11" t="n">
        <x:v>33850</x:v>
      </x:c>
      <x:c r="G8" s="11" t="n">
        <x:v>199200</x:v>
      </x:c>
      <x:c r="H8" s="12" t="n">
        <x:f>'가정'!$B$20+0</x:f>
        <x:v>5</x:v>
      </x:c>
      <x:c r="I8" s="9" t="n">
        <x:f>MIN(0.9,'가정'!$B$21+0.02)</x:f>
        <x:v>0.77</x:v>
      </x:c>
      <x:c r="J8" s="9" t="n">
        <x:f>MIN(0.9,'가정'!$B$22+0.03)</x:f>
        <x:v>0.63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25" customHeight="1">
      <x:c r="A9" s="1" t="str">
        <x:v>2027-04</x:v>
      </x:c>
      <x:c r="B9" s="11" t="n">
        <x:v>904</x:v>
      </x:c>
      <x:c r="C9" s="11" t="n">
        <x:v>1088800</x:v>
      </x:c>
      <x:c r="D9" s="11" t="n">
        <x:v>326640</x:v>
      </x:c>
      <x:c r="E9" s="11" t="n">
        <x:v>274400</x:v>
      </x:c>
      <x:c r="F9" s="11" t="n">
        <x:v>50500</x:v>
      </x:c>
      <x:c r="G9" s="11" t="n">
        <x:v>296400</x:v>
      </x:c>
      <x:c r="H9" s="12" t="n">
        <x:f>'가정'!$B$20+2</x:f>
        <x:v>7</x:v>
      </x:c>
      <x:c r="I9" s="9" t="n">
        <x:f>MIN(0.9,'가정'!$B$21+0.03)</x:f>
        <x:v>0.78</x:v>
      </x:c>
      <x:c r="J9" s="9" t="n">
        <x:f>MIN(0.9,'가정'!$B$22+0.045)</x:f>
        <x:v>0.645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25" customHeight="1">
      <x:c r="A10" s="1" t="str">
        <x:v>2027-05</x:v>
      </x:c>
      <x:c r="B10" s="11" t="n">
        <x:v>976</x:v>
      </x:c>
      <x:c r="C10" s="11" t="n">
        <x:v>1172000</x:v>
      </x:c>
      <x:c r="D10" s="11" t="n">
        <x:v>351600</x:v>
      </x:c>
      <x:c r="E10" s="11" t="n">
        <x:v>290450</x:v>
      </x:c>
      <x:c r="F10" s="11" t="n">
        <x:v>53750</x:v>
      </x:c>
      <x:c r="G10" s="11" t="n">
        <x:v>337800</x:v>
      </x:c>
      <x:c r="H10" s="12" t="n">
        <x:f>'가정'!$B$20+2</x:f>
        <x:v>7</x:v>
      </x:c>
      <x:c r="I10" s="9" t="n">
        <x:f>MIN(0.9,'가정'!$B$21+0.04)</x:f>
        <x:v>0.79</x:v>
      </x:c>
      <x:c r="J10" s="9" t="n">
        <x:f>MIN(0.9,'가정'!$B$22+0.06)</x:f>
        <x:v>0.6599999999999999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25" customHeight="1">
      <x:c r="A11" s="1" t="str">
        <x:v>2027-06</x:v>
      </x:c>
      <x:c r="B11" s="11" t="n">
        <x:v>1019</x:v>
      </x:c>
      <x:c r="C11" s="11" t="n">
        <x:v>1223200</x:v>
      </x:c>
      <x:c r="D11" s="11" t="n">
        <x:v>366960</x:v>
      </x:c>
      <x:c r="E11" s="11" t="n">
        <x:v>312850</x:v>
      </x:c>
      <x:c r="F11" s="11" t="n">
        <x:v>57150</x:v>
      </x:c>
      <x:c r="G11" s="11" t="n">
        <x:v>345600</x:v>
      </x:c>
      <x:c r="H11" s="12" t="n">
        <x:f>'가정'!$B$20+2</x:f>
        <x:v>7</x:v>
      </x:c>
      <x:c r="I11" s="9" t="n">
        <x:f>MIN(0.9,'가정'!$B$21+0.05)</x:f>
        <x:v>0.8</x:v>
      </x:c>
      <x:c r="J11" s="9" t="n">
        <x:f>MIN(0.9,'가정'!$B$22+0.075)</x:f>
        <x:v>0.6749999999999999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25" customHeight="1">
      <x:c r="A12" s="1" t="str">
        <x:v>2027-07</x:v>
      </x:c>
      <x:c r="B12" s="11" t="n">
        <x:v>1424</x:v>
      </x:c>
      <x:c r="C12" s="11" t="n">
        <x:v>1712100</x:v>
      </x:c>
      <x:c r="D12" s="11" t="n">
        <x:v>513630</x:v>
      </x:c>
      <x:c r="E12" s="11" t="n">
        <x:v>419200</x:v>
      </x:c>
      <x:c r="F12" s="11" t="n">
        <x:v>78000</x:v>
      </x:c>
      <x:c r="G12" s="11" t="n">
        <x:v>456600</x:v>
      </x:c>
      <x:c r="H12" s="12" t="n">
        <x:f>'가정'!$B$20+4</x:f>
        <x:v>9</x:v>
      </x:c>
      <x:c r="I12" s="9" t="n">
        <x:f>MIN(0.9,'가정'!$B$21+0.06)</x:f>
        <x:v>0.81</x:v>
      </x:c>
      <x:c r="J12" s="9" t="n">
        <x:f>MIN(0.9,'가정'!$B$22+0.09)</x:f>
        <x:v>0.69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25" customHeight="1">
      <x:c r="A13" s="1" t="str">
        <x:v>2027-08</x:v>
      </x:c>
      <x:c r="B13" s="11" t="n">
        <x:v>1498</x:v>
      </x:c>
      <x:c r="C13" s="11" t="n">
        <x:v>1797700</x:v>
      </x:c>
      <x:c r="D13" s="11" t="n">
        <x:v>539310</x:v>
      </x:c>
      <x:c r="E13" s="11" t="n">
        <x:v>439150</x:v>
      </x:c>
      <x:c r="F13" s="11" t="n">
        <x:v>82750</x:v>
      </x:c>
      <x:c r="G13" s="11" t="n">
        <x:v>495600</x:v>
      </x:c>
      <x:c r="H13" s="12" t="n">
        <x:f>'가정'!$B$20+4</x:f>
        <x:v>9</x:v>
      </x:c>
      <x:c r="I13" s="9" t="n">
        <x:f>MIN(0.9,'가정'!$B$21+0.07)</x:f>
        <x:v>0.8200000000000001</x:v>
      </x:c>
      <x:c r="J13" s="9" t="n">
        <x:f>MIN(0.9,'가정'!$B$22+0.105)</x:f>
        <x:v>0.705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25" customHeight="1">
      <x:c r="A14" s="1" t="str">
        <x:v>2027-09</x:v>
      </x:c>
      <x:c r="B14" s="11" t="n">
        <x:v>1564</x:v>
      </x:c>
      <x:c r="C14" s="11" t="n">
        <x:v>1877900</x:v>
      </x:c>
      <x:c r="D14" s="11" t="n">
        <x:v>563370</x:v>
      </x:c>
      <x:c r="E14" s="11" t="n">
        <x:v>478800</x:v>
      </x:c>
      <x:c r="F14" s="11" t="n">
        <x:v>87600</x:v>
      </x:c>
      <x:c r="G14" s="11" t="n">
        <x:v>516000</x:v>
      </x:c>
      <x:c r="H14" s="12" t="n">
        <x:f>'가정'!$B$20+4</x:f>
        <x:v>9</x:v>
      </x:c>
      <x:c r="I14" s="9" t="n">
        <x:f>MIN(0.9,'가정'!$B$21+0.08)</x:f>
        <x:v>0.83</x:v>
      </x:c>
      <x:c r="J14" s="9" t="n">
        <x:f>MIN(0.9,'가정'!$B$22+0.12)</x:f>
        <x:v>0.72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25" customHeight="1">
      <x:c r="A15" s="1" t="str">
        <x:v>2027-10</x:v>
      </x:c>
      <x:c r="B15" s="11" t="n">
        <x:v>2056</x:v>
      </x:c>
      <x:c r="C15" s="11" t="n">
        <x:v>2466000</x:v>
      </x:c>
      <x:c r="D15" s="11" t="n">
        <x:v>739800</x:v>
      </x:c>
      <x:c r="E15" s="11" t="n">
        <x:v>604850</x:v>
      </x:c>
      <x:c r="F15" s="11" t="n">
        <x:v>113250</x:v>
      </x:c>
      <x:c r="G15" s="11" t="n">
        <x:v>682800</x:v>
      </x:c>
      <x:c r="H15" s="12" t="n">
        <x:f>'가정'!$B$20+6</x:f>
        <x:v>11</x:v>
      </x:c>
      <x:c r="I15" s="9" t="n">
        <x:f>MIN(0.9,'가정'!$B$21+0.09)</x:f>
        <x:v>0.84</x:v>
      </x:c>
      <x:c r="J15" s="9" t="n">
        <x:f>MIN(0.9,'가정'!$B$22+0.135)</x:f>
        <x:v>0.735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25" customHeight="1">
      <x:c r="A16" s="1" t="str">
        <x:v>2027-11</x:v>
      </x:c>
      <x:c r="B16" s="11" t="n">
        <x:v>2143</x:v>
      </x:c>
      <x:c r="C16" s="11" t="n">
        <x:v>2568200</x:v>
      </x:c>
      <x:c r="D16" s="11" t="n">
        <x:v>770460</x:v>
      </x:c>
      <x:c r="E16" s="11" t="n">
        <x:v>656100</x:v>
      </x:c>
      <x:c r="F16" s="11" t="n">
        <x:v>119700</x:v>
      </x:c>
      <x:c r="G16" s="11" t="n">
        <x:v>728400</x:v>
      </x:c>
      <x:c r="H16" s="12" t="n">
        <x:f>'가정'!$B$20+6</x:f>
        <x:v>11</x:v>
      </x:c>
      <x:c r="I16" s="9" t="n">
        <x:f>MIN(0.9,'가정'!$B$21+0.1)</x:f>
        <x:v>0.85</x:v>
      </x:c>
      <x:c r="J16" s="9" t="n">
        <x:f>MIN(0.9,'가정'!$B$22+0.15)</x:f>
        <x:v>0.75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25" customHeight="1">
      <x:c r="A17" s="1" t="str">
        <x:v>2027-12</x:v>
      </x:c>
      <x:c r="B17" s="11" t="n">
        <x:v>2261</x:v>
      </x:c>
      <x:c r="C17" s="11" t="n">
        <x:v>2713800</x:v>
      </x:c>
      <x:c r="D17" s="11" t="n">
        <x:v>814140</x:v>
      </x:c>
      <x:c r="E17" s="11" t="n">
        <x:v>686400</x:v>
      </x:c>
      <x:c r="F17" s="11" t="n">
        <x:v>126300</x:v>
      </x:c>
      <x:c r="G17" s="11" t="n">
        <x:v>765000</x:v>
      </x:c>
      <x:c r="H17" s="12" t="n">
        <x:f>'가정'!$B$20+6</x:f>
        <x:v>11</x:v>
      </x:c>
      <x:c r="I17" s="9" t="n">
        <x:f>MIN(0.9,'가정'!$B$21+0.11)</x:f>
        <x:v>0.86</x:v>
      </x:c>
      <x:c r="J17" s="9" t="n">
        <x:f>MIN(0.9,'가정'!$B$22+0.16499999999999998)</x:f>
        <x:v>0.7649999999999999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5" customHeight="1">
      <x:c r="A2" s="2" t="str">
        <x:v>거래 집계·손익 차이 검증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5" customHeight="1">
      <x:c r="A3" s="1" t="str">
        <x:v>포트폴리오용 합성 데이터·가정 / 2027년 모형 / 실제 실적 아님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0" customHeight="1">
      <x:c r="A5" s="4" t="str">
        <x:v>검증</x:v>
      </x:c>
      <x:c r="B5" s="4" t="str">
        <x:v>잔차·건수</x:v>
      </x:c>
      <x:c r="C5" s="4" t="str">
        <x:v>기준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25" customHeight="1">
      <x:c r="A6" s="1" t="str">
        <x:v>수수료 매출 원본 대사</x:v>
      </x:c>
      <x:c r="B6" s="1" t="n">
        <x:f>SUM('합성집계'!C6:C17)-18681100</x:f>
        <x:v>0</x:v>
      </x:c>
      <x:c r="C6" s="1" t="n">
        <x:v>0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25" customHeight="1">
      <x:c r="A7" s="1" t="str">
        <x:v>손익 차이 분해</x:v>
      </x:c>
      <x:c r="B7" s="1" t="n">
        <x:f>SUM('월별손익'!M6:M17)-SUM('월별손익'!J6:L17)</x:f>
        <x:v>0</x:v>
      </x:c>
      <x:c r="C7" s="1" t="n">
        <x:v>0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25" customHeight="1">
      <x:c r="A8" s="1" t="str">
        <x:v>중복 예약 ID</x:v>
      </x:c>
      <x:c r="B8" s="1" t="n">
        <x:v>0</x:v>
      </x:c>
      <x:c r="C8" s="1" t="n">
        <x:v>0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25" customHeight="1">
      <x:c r="A9" s="1" t="str">
        <x:v>환불 초과</x:v>
      </x:c>
      <x:c r="B9" s="1" t="n">
        <x:v>0</x:v>
      </x:c>
      <x:c r="C9" s="1" t="n">
        <x:v>0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2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2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2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2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2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2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2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2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</x:sheetData>
  <x:pageMargins left="0.7" right="0.7" top="0.75" bottom="0.75" header="0.3" footer="0.3"/>
</x:worksheet>
</file>